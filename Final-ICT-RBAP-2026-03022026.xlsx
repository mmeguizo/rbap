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G34JhbRRRUiGrLB2QLgHMbhVry+DysXXXuNUdlS+A="/>
    </ext>
  </extLst>
</workbook>
</file>

<file path=xl/sharedStrings.xml><?xml version="1.0" encoding="utf-8"?>
<sst xmlns="http://schemas.openxmlformats.org/spreadsheetml/2006/main" count="182" uniqueCount="148">
  <si>
    <t>RESULTS-BASED ACTION PLAN</t>
  </si>
  <si>
    <t>For FY 2026</t>
  </si>
  <si>
    <t xml:space="preserve"> A.	BASIC INFORMATION</t>
  </si>
  <si>
    <t>ITEM</t>
  </si>
  <si>
    <t>DETAILS</t>
  </si>
  <si>
    <t>Campus</t>
  </si>
  <si>
    <t>University-wide</t>
  </si>
  <si>
    <t>Office/Unit</t>
  </si>
  <si>
    <t>Information Technology and Communication Unit</t>
  </si>
  <si>
    <t>Program/Project/Activity/KRA</t>
  </si>
  <si>
    <t>General Administration and Support</t>
  </si>
  <si>
    <t>Strategic Alignment/Planning Document</t>
  </si>
  <si>
    <t>CHMSU Strategic Plan 2025-2029/Information System Strategic Plan</t>
  </si>
  <si>
    <t>Breakthrough Goals</t>
  </si>
  <si>
    <t>Digital and Technology Transformation</t>
  </si>
  <si>
    <t>Strategic Objectives</t>
  </si>
  <si>
    <t>To integrate smart, safe, and sustainable technologies in the university’s operations, systems, land use, and campus infrastructure developments.</t>
  </si>
  <si>
    <t>Planning Year</t>
  </si>
  <si>
    <t>Date Prepared</t>
  </si>
  <si>
    <t>B. RESULTS-BASED ACTION PLAN MATRIX</t>
  </si>
  <si>
    <t>Result Level</t>
  </si>
  <si>
    <t>Target Result (SMART)</t>
  </si>
  <si>
    <t>Key Actions/Activities</t>
  </si>
  <si>
    <t>Key Risk</t>
  </si>
  <si>
    <t>Mitigation/Control Measures</t>
  </si>
  <si>
    <t>Key Performance Output/Outcome Indicators</t>
  </si>
  <si>
    <t>Target</t>
  </si>
  <si>
    <t>Responsible Office/Person</t>
  </si>
  <si>
    <t>Timeline</t>
  </si>
  <si>
    <t>Fund Source</t>
  </si>
  <si>
    <t>Budget Requirements</t>
  </si>
  <si>
    <t>Budget Allocation</t>
  </si>
  <si>
    <t>Budget Deficit</t>
  </si>
  <si>
    <t>Means of Verification (MOV)</t>
  </si>
  <si>
    <t>Outcome A</t>
  </si>
  <si>
    <t>Enhanced ICT infrastructure that supports efficient service and quality teaching-learning activities</t>
  </si>
  <si>
    <t>Implement ICT infrastructure projects aligned to ISSP.</t>
  </si>
  <si>
    <t>Limited budget to allocate for procuring ICT infrastructure projects</t>
  </si>
  <si>
    <t>Seek external funding from other government agencies</t>
  </si>
  <si>
    <t>Number of ICT infrastructure projects implemented</t>
  </si>
  <si>
    <t>10 ICT infrastructure projects</t>
  </si>
  <si>
    <t>ICT-ITS, ICT-MIS</t>
  </si>
  <si>
    <t>4th qtr 2026</t>
  </si>
  <si>
    <t>GAA/Income</t>
  </si>
  <si>
    <t>Purchase Request/ Purchase Order/ Completion Report and Certificate</t>
  </si>
  <si>
    <t>Output A.1</t>
  </si>
  <si>
    <t>Innovative ICT infrastructure projects</t>
  </si>
  <si>
    <t>Conduct market research on prospective suppliers; Request for site survey;</t>
  </si>
  <si>
    <t>No local suppliers may provide the purchase request</t>
  </si>
  <si>
    <t>Request for local authorized dealer/reseller for suppliers outside Negros Island</t>
  </si>
  <si>
    <t>Number of ICT infrastructure projects implemented based on the approved ISSP</t>
  </si>
  <si>
    <t>six (6) implemented ICT infra projects from ISSP</t>
  </si>
  <si>
    <t>ICT-ITS</t>
  </si>
  <si>
    <t>Output A.2</t>
  </si>
  <si>
    <t>Improved computer laboratory and facilities</t>
  </si>
  <si>
    <t>Delays in delivery and setup of computers in the laboratory</t>
  </si>
  <si>
    <t>Close coordination with the supplier to monitor progress and observance of project timeline</t>
  </si>
  <si>
    <t>Number of upgraded and enhanced computer laboratory and facilities</t>
  </si>
  <si>
    <t>four (4) upgraded/ enhanced computer labs</t>
  </si>
  <si>
    <t>Outcome B</t>
  </si>
  <si>
    <t>Established operational secured, centralized, energy-efficient ICT infrastructure</t>
  </si>
  <si>
    <t>Create a cybersecurity plan that secures the centralized network; Proper use of energy-savings facilities</t>
  </si>
  <si>
    <t>Security breaches; hardware failures and deteriorations</t>
  </si>
  <si>
    <t>Regular monitoring of system security; hardware maintenance</t>
  </si>
  <si>
    <t>Number of network, cybersecurity, and energy-efficient ICT projects</t>
  </si>
  <si>
    <t>three (3) network-related and cost-effective ICT projects</t>
  </si>
  <si>
    <t>3rd qtr 2026</t>
  </si>
  <si>
    <t>Completion Report and Certificate/ Cybersecurity Plan</t>
  </si>
  <si>
    <t>Output B.1</t>
  </si>
  <si>
    <t>Efficient and secure system-wide centralized network</t>
  </si>
  <si>
    <t>Design and setup the centralized network infrastructure; 
Implement cybersecurity measures</t>
  </si>
  <si>
    <t>System vulnerabilities</t>
  </si>
  <si>
    <t>Regular seminar/ training on cybersecurity; Updated cybersecurity tools</t>
  </si>
  <si>
    <t>Number of installed infrastructures to support the system-wide centralization of network and enhanced cybersecurity</t>
  </si>
  <si>
    <t>two (2) network- and cybersecurity-related projects</t>
  </si>
  <si>
    <t>2nd qtr 2026</t>
  </si>
  <si>
    <t>Purchase Order/ Completion Report and Certificate/ Cybersecurity Plan</t>
  </si>
  <si>
    <t>Output B.2</t>
  </si>
  <si>
    <t>Cost-effective and energy-saving ICT installed equipment</t>
  </si>
  <si>
    <t>Install equipment; Generate report on energy cost savings</t>
  </si>
  <si>
    <t>Hardware failures and deteriorations</t>
  </si>
  <si>
    <t>Regular hardware maintenance</t>
  </si>
  <si>
    <t>Number of ICT facilities utilizing cost saving and renewable power source</t>
  </si>
  <si>
    <t>one (1) ICT cost-saving or renewable energy projects</t>
  </si>
  <si>
    <t>Completion Report and Certificate</t>
  </si>
  <si>
    <t>Outcome C</t>
  </si>
  <si>
    <t>digitalized and accessible online university services</t>
  </si>
  <si>
    <t>Deploy information systems in local or cloud server; document the system</t>
  </si>
  <si>
    <t>System vulnerabilities; Issue on software and hardware compatibilities</t>
  </si>
  <si>
    <t>Updated security tools;
Upgrade system for software and hardware compatibility</t>
  </si>
  <si>
    <t>Number of information systems implemented in cloud and local hosting</t>
  </si>
  <si>
    <t>eight (8) information systems to be deployed locally and on cloud</t>
  </si>
  <si>
    <t>ICT-MIS</t>
  </si>
  <si>
    <t>Certificate of Deployment/ User Manual</t>
  </si>
  <si>
    <t>Output C.1</t>
  </si>
  <si>
    <t>Streamlined transactions via information systems</t>
  </si>
  <si>
    <t>Enhance the code and build the information system of the university</t>
  </si>
  <si>
    <t>Limited skills and manpower</t>
  </si>
  <si>
    <t>Training and upskilling of developers</t>
  </si>
  <si>
    <t>Number of upgraded, developed and deployed information systems and digitalized process/procedures.</t>
  </si>
  <si>
    <t>five (5) deployed information systems</t>
  </si>
  <si>
    <t>Output C.2</t>
  </si>
  <si>
    <t>Accessible and available of university services and resources</t>
  </si>
  <si>
    <t>Deploy the university services on cloud server</t>
  </si>
  <si>
    <t>Slow system performance</t>
  </si>
  <si>
    <t>Upgrade software and hardware components</t>
  </si>
  <si>
    <t>Number of university services deployed via cloud computing</t>
  </si>
  <si>
    <t>three (3) university online services</t>
  </si>
  <si>
    <t>Outcome D</t>
  </si>
  <si>
    <t>Digitized, secure, and continuously available university services supporting instruction, research, and administration through licensed productivity, collaboration, research, AI, and cybersecurity subscriptions</t>
  </si>
  <si>
    <t>Procure, renew, configure, deploy, and manage institutional subscription licenses; integrate platforms into university ICT infrastructure; enforce usage and security policies</t>
  </si>
  <si>
    <t>Underutilization of subscriptions</t>
  </si>
  <si>
    <t>Centralized ICT governance; regular security updates; user orientation and access controls; vendor support and SLAs</t>
  </si>
  <si>
    <t>Number of licenses purchase</t>
  </si>
  <si>
    <t>500 licenses purchased</t>
  </si>
  <si>
    <t>Purchase Request/ Purchase Order/</t>
  </si>
  <si>
    <t>Output D.1</t>
  </si>
  <si>
    <t>Streamlined academic, research, and administrative processes enabled by licensed digital platforms</t>
  </si>
  <si>
    <t>Implement and maintain Zoom, Google Workspace, Microsoft 365, Research Archiving System, AI tools</t>
  </si>
  <si>
    <t>Unhandled subscription credentials and  undercapacity of subscription</t>
  </si>
  <si>
    <t>Managed and monitored list of credentials utilized or installed</t>
  </si>
  <si>
    <t>Number of licenses installed</t>
  </si>
  <si>
    <t>500 licenses installed</t>
  </si>
  <si>
    <t>4th 2026</t>
  </si>
  <si>
    <t>Accoun Credntials Inventory</t>
  </si>
  <si>
    <t>Output D.2</t>
  </si>
  <si>
    <t>Strengthened cybersecurity posture of university systems and networks</t>
  </si>
  <si>
    <t>Conduct regular vulnerability assessments; monitor endpoints and network traffic; enforce security controls; firewall, endpoint security, and VAPT software</t>
  </si>
  <si>
    <t>Data breach; malware infection; system compromise</t>
  </si>
  <si>
    <t>Endpoint monitoring; firewall rule management; vulnerability remediation</t>
  </si>
  <si>
    <t>Number of cybersecurity attack attempts scanned</t>
  </si>
  <si>
    <t>350 attack attempts scanned</t>
  </si>
  <si>
    <r>
      <rPr>
        <rFont val="Calibri"/>
        <color rgb="FF434343"/>
        <sz val="11.0"/>
      </rPr>
      <t>1</t>
    </r>
    <r>
      <rPr>
        <rFont val="Calibri"/>
        <color rgb="FF434343"/>
        <sz val="11.0"/>
        <vertAlign val="superscript"/>
      </rPr>
      <t>st</t>
    </r>
    <r>
      <rPr>
        <rFont val="Calibri"/>
        <color rgb="FF434343"/>
        <sz val="11.0"/>
      </rPr>
      <t xml:space="preserve"> qtr 2026</t>
    </r>
  </si>
  <si>
    <t>Vulnerability Scanning Report</t>
  </si>
  <si>
    <t>C. MONITORING</t>
  </si>
  <si>
    <t>Monitoring Frequency</t>
  </si>
  <si>
    <t>Quarterly</t>
  </si>
  <si>
    <t>Reporting Office</t>
  </si>
  <si>
    <t>Information and Communication Technology Unit
Information Technology Services Unit
Management Information System Unit</t>
  </si>
  <si>
    <t xml:space="preserve">Prepared by:	</t>
  </si>
  <si>
    <t>Reviewed by:</t>
  </si>
  <si>
    <t>Approved by:</t>
  </si>
  <si>
    <t>ARIANE M. TORRES, MIT</t>
  </si>
  <si>
    <t xml:space="preserve"> </t>
  </si>
  <si>
    <t>NORBERTO P. MANGULABNAN, PhD</t>
  </si>
  <si>
    <t>Division/Unit Head/Dean</t>
  </si>
  <si>
    <t>Vice President</t>
  </si>
  <si>
    <t>SUC III President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</si>
</sst>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1">
    <font>
      <sz val="11.0"/>
      <color theme="1"/>
      <name val="Calibri"/>
      <scheme val="minor"/>
    </font>
    <font>
      <b/>
      <sz val="14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b/>
      <sz val="10.0"/>
      <color rgb="FF000000"/>
      <name val="Calibri"/>
    </font>
    <font>
      <color rgb="FF000000"/>
      <name val="Calibri"/>
    </font>
    <font>
      <sz val="11.0"/>
      <color rgb="FF434343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1" fillId="2" fontId="3" numFmtId="0" xfId="0" applyAlignment="1" applyBorder="1" applyFont="1">
      <alignment horizontal="center" vertical="center"/>
    </xf>
    <xf borderId="3" fillId="0" fontId="4" numFmtId="0" xfId="0" applyBorder="1" applyFont="1"/>
    <xf borderId="1" fillId="3" fontId="5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vertical="center"/>
    </xf>
    <xf borderId="1" fillId="0" fontId="6" numFmtId="164" xfId="0" applyAlignment="1" applyBorder="1" applyFont="1" applyNumberForma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4" fillId="0" fontId="5" numFmtId="0" xfId="0" applyAlignment="1" applyBorder="1" applyFont="1">
      <alignment horizontal="left" shrinkToFit="0" vertical="top" wrapText="1"/>
    </xf>
    <xf borderId="4" fillId="0" fontId="6" numFmtId="4" xfId="0" applyAlignment="1" applyBorder="1" applyFont="1" applyNumberForma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0" fillId="0" fontId="6" numFmtId="0" xfId="0" applyFont="1"/>
    <xf borderId="4" fillId="0" fontId="8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10" numFmtId="0" xfId="0" applyFont="1"/>
    <xf borderId="5" fillId="0" fontId="6" numFmtId="0" xfId="0" applyAlignment="1" applyBorder="1" applyFont="1">
      <alignment vertical="center"/>
    </xf>
    <xf borderId="5" fillId="0" fontId="6" numFmtId="0" xfId="0" applyBorder="1" applyFont="1"/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4.71"/>
    <col customWidth="1" min="3" max="3" width="23.0"/>
    <col customWidth="1" min="4" max="4" width="24.71"/>
    <col customWidth="1" min="5" max="5" width="24.14"/>
    <col customWidth="1" min="6" max="6" width="25.86"/>
    <col customWidth="1" min="7" max="8" width="22.29"/>
    <col customWidth="1" min="9" max="9" width="21.43"/>
    <col customWidth="1" min="10" max="10" width="14.0"/>
    <col customWidth="1" min="11" max="11" width="15.71"/>
    <col customWidth="1" min="12" max="13" width="13.43"/>
    <col customWidth="1" min="14" max="14" width="17.14"/>
    <col customWidth="1" min="15" max="26" width="8.71"/>
  </cols>
  <sheetData>
    <row r="1">
      <c r="A1" s="1" t="s">
        <v>0</v>
      </c>
      <c r="N1" s="2"/>
      <c r="O1" s="2"/>
      <c r="P1" s="2"/>
    </row>
    <row r="2">
      <c r="A2" s="1" t="s">
        <v>1</v>
      </c>
      <c r="N2" s="2"/>
      <c r="O2" s="2"/>
      <c r="P2" s="2"/>
    </row>
    <row r="4">
      <c r="A4" s="3" t="s">
        <v>2</v>
      </c>
    </row>
    <row r="5">
      <c r="A5" s="4" t="s">
        <v>3</v>
      </c>
      <c r="B5" s="5"/>
      <c r="C5" s="6" t="s">
        <v>4</v>
      </c>
      <c r="D5" s="7"/>
      <c r="E5" s="7"/>
      <c r="F5" s="7"/>
      <c r="G5" s="7"/>
      <c r="H5" s="7"/>
      <c r="I5" s="7"/>
      <c r="J5" s="7"/>
      <c r="K5" s="7"/>
      <c r="L5" s="7"/>
      <c r="M5" s="7"/>
      <c r="N5" s="5"/>
    </row>
    <row r="6">
      <c r="A6" s="8" t="s">
        <v>5</v>
      </c>
      <c r="B6" s="5"/>
      <c r="C6" s="9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5"/>
    </row>
    <row r="7">
      <c r="A7" s="8" t="s">
        <v>7</v>
      </c>
      <c r="B7" s="5"/>
      <c r="C7" s="9" t="s">
        <v>8</v>
      </c>
      <c r="D7" s="7"/>
      <c r="E7" s="7"/>
      <c r="F7" s="7"/>
      <c r="G7" s="7"/>
      <c r="H7" s="7"/>
      <c r="I7" s="7"/>
      <c r="J7" s="7"/>
      <c r="K7" s="7"/>
      <c r="L7" s="7"/>
      <c r="M7" s="7"/>
      <c r="N7" s="5"/>
    </row>
    <row r="8" ht="15.75" customHeight="1">
      <c r="A8" s="8" t="s">
        <v>9</v>
      </c>
      <c r="B8" s="5"/>
      <c r="C8" s="9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5"/>
    </row>
    <row r="9" ht="15.75" customHeight="1">
      <c r="A9" s="8" t="s">
        <v>11</v>
      </c>
      <c r="B9" s="5"/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5"/>
    </row>
    <row r="10">
      <c r="A10" s="8" t="s">
        <v>13</v>
      </c>
      <c r="B10" s="5"/>
      <c r="C10" s="9" t="s">
        <v>14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5"/>
    </row>
    <row r="11">
      <c r="A11" s="8" t="s">
        <v>15</v>
      </c>
      <c r="B11" s="5"/>
      <c r="C11" s="9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5"/>
    </row>
    <row r="12">
      <c r="A12" s="8" t="s">
        <v>17</v>
      </c>
      <c r="B12" s="5"/>
      <c r="C12" s="9">
        <v>2026.0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5"/>
    </row>
    <row r="13">
      <c r="A13" s="8" t="s">
        <v>18</v>
      </c>
      <c r="B13" s="5"/>
      <c r="C13" s="10">
        <v>46048.0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5"/>
    </row>
    <row r="15">
      <c r="A15" s="3" t="s">
        <v>19</v>
      </c>
    </row>
    <row r="16" ht="31.5" customHeight="1">
      <c r="A16" s="11" t="s">
        <v>20</v>
      </c>
      <c r="B16" s="11" t="s">
        <v>21</v>
      </c>
      <c r="C16" s="11" t="s">
        <v>22</v>
      </c>
      <c r="D16" s="11" t="s">
        <v>23</v>
      </c>
      <c r="E16" s="11" t="s">
        <v>24</v>
      </c>
      <c r="F16" s="11" t="s">
        <v>25</v>
      </c>
      <c r="G16" s="11" t="s">
        <v>26</v>
      </c>
      <c r="H16" s="11" t="s">
        <v>27</v>
      </c>
      <c r="I16" s="11" t="s">
        <v>28</v>
      </c>
      <c r="J16" s="11" t="s">
        <v>29</v>
      </c>
      <c r="K16" s="11" t="s">
        <v>30</v>
      </c>
      <c r="L16" s="11" t="s">
        <v>31</v>
      </c>
      <c r="M16" s="11" t="s">
        <v>32</v>
      </c>
      <c r="N16" s="11" t="s">
        <v>33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" t="s">
        <v>34</v>
      </c>
      <c r="B17" s="13" t="s">
        <v>35</v>
      </c>
      <c r="C17" s="13" t="s">
        <v>36</v>
      </c>
      <c r="D17" s="13" t="s">
        <v>37</v>
      </c>
      <c r="E17" s="13" t="s">
        <v>38</v>
      </c>
      <c r="F17" s="13" t="s">
        <v>39</v>
      </c>
      <c r="G17" s="13" t="s">
        <v>40</v>
      </c>
      <c r="H17" s="13" t="s">
        <v>41</v>
      </c>
      <c r="I17" s="13" t="s">
        <v>42</v>
      </c>
      <c r="J17" s="13" t="s">
        <v>43</v>
      </c>
      <c r="K17" s="14">
        <v>4266000.0</v>
      </c>
      <c r="L17" s="14">
        <v>971200.0</v>
      </c>
      <c r="M17" s="14">
        <f t="shared" ref="M17:M28" si="1">K17-L17</f>
        <v>3294800</v>
      </c>
      <c r="N17" s="15" t="s">
        <v>44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3" t="s">
        <v>45</v>
      </c>
      <c r="B18" s="13" t="s">
        <v>46</v>
      </c>
      <c r="C18" s="13" t="s">
        <v>47</v>
      </c>
      <c r="D18" s="13" t="s">
        <v>48</v>
      </c>
      <c r="E18" s="13" t="s">
        <v>49</v>
      </c>
      <c r="F18" s="13" t="s">
        <v>50</v>
      </c>
      <c r="G18" s="13" t="s">
        <v>51</v>
      </c>
      <c r="H18" s="13" t="s">
        <v>52</v>
      </c>
      <c r="I18" s="13" t="s">
        <v>42</v>
      </c>
      <c r="J18" s="13" t="s">
        <v>43</v>
      </c>
      <c r="K18" s="14">
        <v>7170000.0</v>
      </c>
      <c r="L18" s="14">
        <v>6370000.0</v>
      </c>
      <c r="M18" s="14">
        <f t="shared" si="1"/>
        <v>800000</v>
      </c>
      <c r="N18" s="15" t="s">
        <v>44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3" t="s">
        <v>53</v>
      </c>
      <c r="B19" s="13" t="s">
        <v>54</v>
      </c>
      <c r="C19" s="13" t="s">
        <v>47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52</v>
      </c>
      <c r="I19" s="13" t="s">
        <v>42</v>
      </c>
      <c r="J19" s="13" t="s">
        <v>43</v>
      </c>
      <c r="K19" s="14">
        <v>6820000.0</v>
      </c>
      <c r="L19" s="14">
        <v>6355000.0</v>
      </c>
      <c r="M19" s="14">
        <f t="shared" si="1"/>
        <v>465000</v>
      </c>
      <c r="N19" s="15" t="s">
        <v>44</v>
      </c>
    </row>
    <row r="20">
      <c r="A20" s="13" t="s">
        <v>59</v>
      </c>
      <c r="B20" s="13" t="s">
        <v>60</v>
      </c>
      <c r="C20" s="13" t="s">
        <v>61</v>
      </c>
      <c r="D20" s="13" t="s">
        <v>62</v>
      </c>
      <c r="E20" s="13" t="s">
        <v>63</v>
      </c>
      <c r="F20" s="13" t="s">
        <v>64</v>
      </c>
      <c r="G20" s="13" t="s">
        <v>65</v>
      </c>
      <c r="H20" s="13" t="s">
        <v>41</v>
      </c>
      <c r="I20" s="13" t="s">
        <v>66</v>
      </c>
      <c r="J20" s="13" t="s">
        <v>43</v>
      </c>
      <c r="K20" s="14">
        <v>0.0</v>
      </c>
      <c r="L20" s="14">
        <v>0.0</v>
      </c>
      <c r="M20" s="14">
        <f t="shared" si="1"/>
        <v>0</v>
      </c>
      <c r="N20" s="15" t="s">
        <v>67</v>
      </c>
    </row>
    <row r="21">
      <c r="A21" s="17" t="s">
        <v>68</v>
      </c>
      <c r="B21" s="17" t="s">
        <v>69</v>
      </c>
      <c r="C21" s="17" t="s">
        <v>70</v>
      </c>
      <c r="D21" s="17" t="s">
        <v>71</v>
      </c>
      <c r="E21" s="17" t="s">
        <v>72</v>
      </c>
      <c r="F21" s="17" t="s">
        <v>73</v>
      </c>
      <c r="G21" s="17" t="s">
        <v>74</v>
      </c>
      <c r="H21" s="17" t="s">
        <v>41</v>
      </c>
      <c r="I21" s="17" t="s">
        <v>75</v>
      </c>
      <c r="J21" s="17" t="s">
        <v>43</v>
      </c>
      <c r="K21" s="14">
        <v>1.5E7</v>
      </c>
      <c r="L21" s="14">
        <v>1.5E7</v>
      </c>
      <c r="M21" s="14">
        <f t="shared" si="1"/>
        <v>0</v>
      </c>
      <c r="N21" s="15" t="s">
        <v>76</v>
      </c>
    </row>
    <row r="22">
      <c r="A22" s="17" t="s">
        <v>77</v>
      </c>
      <c r="B22" s="17" t="s">
        <v>78</v>
      </c>
      <c r="C22" s="17" t="s">
        <v>79</v>
      </c>
      <c r="D22" s="17" t="s">
        <v>80</v>
      </c>
      <c r="E22" s="17" t="s">
        <v>81</v>
      </c>
      <c r="F22" s="17" t="s">
        <v>82</v>
      </c>
      <c r="G22" s="17" t="s">
        <v>83</v>
      </c>
      <c r="H22" s="17" t="s">
        <v>52</v>
      </c>
      <c r="I22" s="17" t="s">
        <v>66</v>
      </c>
      <c r="J22" s="17" t="s">
        <v>43</v>
      </c>
      <c r="K22" s="14">
        <v>500000.0</v>
      </c>
      <c r="L22" s="14">
        <v>500000.0</v>
      </c>
      <c r="M22" s="14">
        <f t="shared" si="1"/>
        <v>0</v>
      </c>
      <c r="N22" s="15" t="s">
        <v>84</v>
      </c>
    </row>
    <row r="23">
      <c r="A23" s="17" t="s">
        <v>85</v>
      </c>
      <c r="B23" s="17" t="s">
        <v>86</v>
      </c>
      <c r="C23" s="17" t="s">
        <v>87</v>
      </c>
      <c r="D23" s="17" t="s">
        <v>88</v>
      </c>
      <c r="E23" s="17" t="s">
        <v>89</v>
      </c>
      <c r="F23" s="17" t="s">
        <v>90</v>
      </c>
      <c r="G23" s="17" t="s">
        <v>91</v>
      </c>
      <c r="H23" s="17" t="s">
        <v>92</v>
      </c>
      <c r="I23" s="17" t="s">
        <v>42</v>
      </c>
      <c r="J23" s="17" t="s">
        <v>43</v>
      </c>
      <c r="K23" s="14">
        <v>0.0</v>
      </c>
      <c r="L23" s="14">
        <v>0.0</v>
      </c>
      <c r="M23" s="14">
        <f t="shared" si="1"/>
        <v>0</v>
      </c>
      <c r="N23" s="15" t="s">
        <v>93</v>
      </c>
    </row>
    <row r="24">
      <c r="A24" s="17" t="s">
        <v>94</v>
      </c>
      <c r="B24" s="17" t="s">
        <v>95</v>
      </c>
      <c r="C24" s="17" t="s">
        <v>96</v>
      </c>
      <c r="D24" s="17" t="s">
        <v>97</v>
      </c>
      <c r="E24" s="17" t="s">
        <v>98</v>
      </c>
      <c r="F24" s="17" t="s">
        <v>99</v>
      </c>
      <c r="G24" s="17" t="s">
        <v>100</v>
      </c>
      <c r="H24" s="17" t="s">
        <v>92</v>
      </c>
      <c r="I24" s="17" t="s">
        <v>42</v>
      </c>
      <c r="J24" s="17" t="s">
        <v>43</v>
      </c>
      <c r="K24" s="14">
        <v>3000000.0</v>
      </c>
      <c r="L24" s="14">
        <v>3000000.0</v>
      </c>
      <c r="M24" s="14">
        <f t="shared" si="1"/>
        <v>0</v>
      </c>
      <c r="N24" s="15" t="s">
        <v>93</v>
      </c>
    </row>
    <row r="25">
      <c r="A25" s="17" t="s">
        <v>101</v>
      </c>
      <c r="B25" s="17" t="s">
        <v>102</v>
      </c>
      <c r="C25" s="17" t="s">
        <v>103</v>
      </c>
      <c r="D25" s="17" t="s">
        <v>104</v>
      </c>
      <c r="E25" s="17" t="s">
        <v>105</v>
      </c>
      <c r="F25" s="17" t="s">
        <v>106</v>
      </c>
      <c r="G25" s="17" t="s">
        <v>107</v>
      </c>
      <c r="H25" s="17" t="s">
        <v>92</v>
      </c>
      <c r="I25" s="17" t="s">
        <v>42</v>
      </c>
      <c r="J25" s="17" t="s">
        <v>43</v>
      </c>
      <c r="K25" s="14">
        <v>0.0</v>
      </c>
      <c r="L25" s="14">
        <v>0.0</v>
      </c>
      <c r="M25" s="14">
        <f t="shared" si="1"/>
        <v>0</v>
      </c>
      <c r="N25" s="15" t="s">
        <v>93</v>
      </c>
    </row>
    <row r="26">
      <c r="A26" s="15" t="s">
        <v>108</v>
      </c>
      <c r="B26" s="18" t="s">
        <v>109</v>
      </c>
      <c r="C26" s="15" t="s">
        <v>110</v>
      </c>
      <c r="D26" s="15" t="s">
        <v>111</v>
      </c>
      <c r="E26" s="15" t="s">
        <v>112</v>
      </c>
      <c r="F26" s="15" t="s">
        <v>113</v>
      </c>
      <c r="G26" s="15" t="s">
        <v>114</v>
      </c>
      <c r="H26" s="15" t="s">
        <v>92</v>
      </c>
      <c r="I26" s="19" t="s">
        <v>42</v>
      </c>
      <c r="J26" s="19" t="s">
        <v>43</v>
      </c>
      <c r="K26" s="15">
        <v>0.0</v>
      </c>
      <c r="L26" s="15">
        <v>0.0</v>
      </c>
      <c r="M26" s="15">
        <f t="shared" si="1"/>
        <v>0</v>
      </c>
      <c r="N26" s="15" t="s">
        <v>115</v>
      </c>
    </row>
    <row r="27">
      <c r="A27" s="15" t="s">
        <v>116</v>
      </c>
      <c r="B27" s="18" t="s">
        <v>117</v>
      </c>
      <c r="C27" s="15" t="s">
        <v>118</v>
      </c>
      <c r="D27" s="15" t="s">
        <v>119</v>
      </c>
      <c r="E27" s="15" t="s">
        <v>120</v>
      </c>
      <c r="F27" s="15" t="s">
        <v>121</v>
      </c>
      <c r="G27" s="15" t="s">
        <v>122</v>
      </c>
      <c r="H27" s="15" t="s">
        <v>92</v>
      </c>
      <c r="I27" s="19" t="s">
        <v>123</v>
      </c>
      <c r="J27" s="19" t="s">
        <v>43</v>
      </c>
      <c r="K27" s="14">
        <v>1140000.0</v>
      </c>
      <c r="L27" s="14">
        <v>290000.0</v>
      </c>
      <c r="M27" s="14">
        <f t="shared" si="1"/>
        <v>850000</v>
      </c>
      <c r="N27" s="15" t="s">
        <v>124</v>
      </c>
    </row>
    <row r="28">
      <c r="A28" s="15" t="s">
        <v>125</v>
      </c>
      <c r="B28" s="18" t="s">
        <v>126</v>
      </c>
      <c r="C28" s="15" t="s">
        <v>127</v>
      </c>
      <c r="D28" s="15" t="s">
        <v>128</v>
      </c>
      <c r="E28" s="15" t="s">
        <v>129</v>
      </c>
      <c r="F28" s="15" t="s">
        <v>130</v>
      </c>
      <c r="G28" s="15" t="s">
        <v>131</v>
      </c>
      <c r="H28" s="15" t="s">
        <v>92</v>
      </c>
      <c r="I28" s="19" t="s">
        <v>132</v>
      </c>
      <c r="J28" s="19" t="s">
        <v>43</v>
      </c>
      <c r="K28" s="14">
        <v>2323600.0</v>
      </c>
      <c r="L28" s="14">
        <v>50000.0</v>
      </c>
      <c r="M28" s="14">
        <f t="shared" si="1"/>
        <v>2273600</v>
      </c>
      <c r="N28" s="15" t="s">
        <v>133</v>
      </c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 t="s">
        <v>134</v>
      </c>
    </row>
    <row r="35" ht="15.75" customHeight="1"/>
    <row r="36" ht="15.75" customHeight="1">
      <c r="A36" s="6" t="s">
        <v>3</v>
      </c>
      <c r="B36" s="5"/>
      <c r="C36" s="6" t="s">
        <v>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5"/>
    </row>
    <row r="37" ht="15.75" customHeight="1">
      <c r="A37" s="21" t="s">
        <v>135</v>
      </c>
      <c r="B37" s="5"/>
      <c r="C37" s="9" t="s">
        <v>136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5"/>
    </row>
    <row r="38" ht="15.75" customHeight="1">
      <c r="A38" s="21" t="s">
        <v>137</v>
      </c>
      <c r="B38" s="5"/>
      <c r="C38" s="9" t="s">
        <v>138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5"/>
    </row>
    <row r="39" ht="15.75" customHeight="1"/>
    <row r="40" ht="15.75" customHeight="1"/>
    <row r="41" ht="15.75" customHeight="1"/>
    <row r="42" ht="15.75" customHeight="1"/>
    <row r="43" ht="15.75" customHeight="1">
      <c r="B43" s="3" t="s">
        <v>139</v>
      </c>
      <c r="E43" s="3" t="s">
        <v>140</v>
      </c>
      <c r="I43" s="3" t="s">
        <v>141</v>
      </c>
    </row>
    <row r="44" ht="15.75" customHeight="1"/>
    <row r="45" ht="15.75" customHeight="1">
      <c r="B45" s="22" t="s">
        <v>142</v>
      </c>
      <c r="E45" s="23" t="s">
        <v>143</v>
      </c>
      <c r="I45" s="24" t="s">
        <v>144</v>
      </c>
    </row>
    <row r="46" ht="15.75" customHeight="1">
      <c r="B46" s="25" t="s">
        <v>145</v>
      </c>
      <c r="E46" s="22" t="s">
        <v>146</v>
      </c>
      <c r="I46" s="22" t="s">
        <v>147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M1"/>
    <mergeCell ref="A2:M2"/>
    <mergeCell ref="A5:B5"/>
    <mergeCell ref="C5:N5"/>
    <mergeCell ref="A6:B6"/>
    <mergeCell ref="C6:N6"/>
    <mergeCell ref="C7:N7"/>
    <mergeCell ref="A36:B36"/>
    <mergeCell ref="A37:B37"/>
    <mergeCell ref="A38:B38"/>
    <mergeCell ref="A7:B7"/>
    <mergeCell ref="A8:B8"/>
    <mergeCell ref="A9:B9"/>
    <mergeCell ref="A10:B10"/>
    <mergeCell ref="A11:B11"/>
    <mergeCell ref="A12:B12"/>
    <mergeCell ref="A13:B13"/>
    <mergeCell ref="C37:N37"/>
    <mergeCell ref="C38:N38"/>
    <mergeCell ref="C8:N8"/>
    <mergeCell ref="C9:N9"/>
    <mergeCell ref="C10:N10"/>
    <mergeCell ref="C11:N11"/>
    <mergeCell ref="C12:N12"/>
    <mergeCell ref="C13:N13"/>
    <mergeCell ref="C36:N36"/>
  </mergeCells>
  <printOptions/>
  <pageMargins bottom="0.7480314960629921" footer="0.0" header="0.0" left="0.2362204724409449" right="0.2362204724409449" top="0.7480314960629921"/>
  <pageSetup paperSize="14" scale="60" orientation="landscape"/>
  <headerFooter>
    <oddHeader>&amp;CFF0000UNIT LETTER HEAD</oddHeader>
  </headerFooter>
  <drawing r:id="rId1"/>
</worksheet>
</file>